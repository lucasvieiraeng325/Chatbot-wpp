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008496\OneDrive - GRUPO EQUATORIAL ENERGIA\Documentos\ENG CORPORATIVA 2025\53_PLANEJAMENTO 2026\01_QTD INSPETORES\"/>
    </mc:Choice>
  </mc:AlternateContent>
  <bookViews>
    <workbookView xWindow="0" yWindow="0" windowWidth="21600" windowHeight="9630"/>
  </bookViews>
  <sheets>
    <sheet name="EQTL M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" i="1" l="1"/>
  <c r="L26" i="1"/>
  <c r="L25" i="1"/>
  <c r="L24" i="1"/>
  <c r="L22" i="1"/>
  <c r="M22" i="1" s="1"/>
  <c r="L21" i="1"/>
  <c r="M21" i="1" s="1"/>
  <c r="L20" i="1"/>
  <c r="L19" i="1" s="1"/>
  <c r="L18" i="1"/>
  <c r="M18" i="1" s="1"/>
  <c r="L17" i="1"/>
  <c r="M17" i="1" s="1"/>
  <c r="L16" i="1"/>
  <c r="L15" i="1" s="1"/>
  <c r="L14" i="1"/>
  <c r="L13" i="1"/>
  <c r="L12" i="1"/>
  <c r="L11" i="1"/>
  <c r="M11" i="1" s="1"/>
  <c r="L9" i="1"/>
  <c r="M9" i="1" s="1"/>
  <c r="L8" i="1"/>
  <c r="M8" i="1" s="1"/>
  <c r="L7" i="1"/>
  <c r="L6" i="1"/>
  <c r="M6" i="1" s="1"/>
  <c r="L5" i="1"/>
  <c r="M5" i="1" s="1"/>
  <c r="M7" i="1"/>
  <c r="M27" i="1"/>
  <c r="M25" i="1"/>
  <c r="M24" i="1"/>
  <c r="K23" i="1"/>
  <c r="J23" i="1"/>
  <c r="K19" i="1"/>
  <c r="J19" i="1"/>
  <c r="K15" i="1"/>
  <c r="J15" i="1"/>
  <c r="M14" i="1"/>
  <c r="M12" i="1"/>
  <c r="K10" i="1"/>
  <c r="J10" i="1"/>
  <c r="K4" i="1"/>
  <c r="J4" i="1"/>
  <c r="M20" i="1" l="1"/>
  <c r="M19" i="1" s="1"/>
  <c r="M4" i="1"/>
  <c r="K28" i="1"/>
  <c r="L10" i="1"/>
  <c r="J28" i="1"/>
  <c r="L4" i="1"/>
  <c r="L23" i="1"/>
  <c r="M13" i="1"/>
  <c r="M10" i="1" s="1"/>
  <c r="M16" i="1"/>
  <c r="M15" i="1" s="1"/>
  <c r="M26" i="1"/>
  <c r="M23" i="1" s="1"/>
  <c r="E27" i="1"/>
  <c r="F27" i="1" s="1"/>
  <c r="E26" i="1"/>
  <c r="F26" i="1" s="1"/>
  <c r="E25" i="1"/>
  <c r="F25" i="1" s="1"/>
  <c r="E24" i="1"/>
  <c r="F24" i="1" s="1"/>
  <c r="E22" i="1"/>
  <c r="E21" i="1"/>
  <c r="F21" i="1" s="1"/>
  <c r="E20" i="1"/>
  <c r="F20" i="1" s="1"/>
  <c r="E18" i="1"/>
  <c r="F18" i="1" s="1"/>
  <c r="E17" i="1"/>
  <c r="F17" i="1" s="1"/>
  <c r="E16" i="1"/>
  <c r="E14" i="1"/>
  <c r="F14" i="1" s="1"/>
  <c r="E13" i="1"/>
  <c r="F13" i="1" s="1"/>
  <c r="E12" i="1"/>
  <c r="F12" i="1" s="1"/>
  <c r="E11" i="1"/>
  <c r="E10" i="1" s="1"/>
  <c r="E9" i="1"/>
  <c r="F9" i="1" s="1"/>
  <c r="E8" i="1"/>
  <c r="F8" i="1" s="1"/>
  <c r="E7" i="1"/>
  <c r="F7" i="1" s="1"/>
  <c r="E6" i="1"/>
  <c r="F6" i="1" s="1"/>
  <c r="E5" i="1"/>
  <c r="F5" i="1" s="1"/>
  <c r="E23" i="1"/>
  <c r="L28" i="1" l="1"/>
  <c r="M28" i="1"/>
  <c r="E19" i="1"/>
  <c r="E15" i="1"/>
  <c r="F22" i="1"/>
  <c r="F16" i="1"/>
  <c r="F11" i="1"/>
  <c r="E4" i="1"/>
  <c r="E28" i="1" s="1"/>
  <c r="F19" i="1" l="1"/>
  <c r="F15" i="1"/>
  <c r="D23" i="1"/>
  <c r="D19" i="1"/>
  <c r="D15" i="1"/>
  <c r="D10" i="1"/>
  <c r="D4" i="1"/>
  <c r="C23" i="1"/>
  <c r="C19" i="1"/>
  <c r="C15" i="1"/>
  <c r="C10" i="1"/>
  <c r="C4" i="1"/>
  <c r="C28" i="1" l="1"/>
  <c r="F10" i="1"/>
  <c r="D28" i="1"/>
  <c r="F4" i="1"/>
  <c r="F23" i="1"/>
  <c r="F28" i="1" l="1"/>
</calcChain>
</file>

<file path=xl/sharedStrings.xml><?xml version="1.0" encoding="utf-8"?>
<sst xmlns="http://schemas.openxmlformats.org/spreadsheetml/2006/main" count="63" uniqueCount="36">
  <si>
    <t>REGIONAL</t>
  </si>
  <si>
    <t>CENTRO</t>
  </si>
  <si>
    <t>BACABAL</t>
  </si>
  <si>
    <t>PEDREIRAS</t>
  </si>
  <si>
    <t>SANTA INÊS</t>
  </si>
  <si>
    <t>LESTE</t>
  </si>
  <si>
    <t>CAXIAS</t>
  </si>
  <si>
    <t>CHAPADINHA</t>
  </si>
  <si>
    <t>TIMON</t>
  </si>
  <si>
    <t>NOROESTE</t>
  </si>
  <si>
    <t>VIANA</t>
  </si>
  <si>
    <t>PINHEIRO</t>
  </si>
  <si>
    <t>NORTE</t>
  </si>
  <si>
    <t>BARREIRINHAS</t>
  </si>
  <si>
    <t>SUL</t>
  </si>
  <si>
    <t>BALSAS</t>
  </si>
  <si>
    <t>IMPERATRIZ</t>
  </si>
  <si>
    <t>GRAJAU</t>
  </si>
  <si>
    <t>EQTL-MA</t>
  </si>
  <si>
    <t>ROSARIO</t>
  </si>
  <si>
    <t>SAO LUIS</t>
  </si>
  <si>
    <t>GOV N FREIRE</t>
  </si>
  <si>
    <t>ITAPECURU</t>
  </si>
  <si>
    <t>PRES  DUTRA</t>
  </si>
  <si>
    <t>S J DO PATOS</t>
  </si>
  <si>
    <t>AÇAILANDIA</t>
  </si>
  <si>
    <t>% USO INSP BASE INT.</t>
  </si>
  <si>
    <t>QTD INSP. MANUT RD 2025</t>
  </si>
  <si>
    <t>QTD INSP. BASE INTEG. 2025</t>
  </si>
  <si>
    <t>QTD INSP. BASE INTEG. 2025 AJUSTADA</t>
  </si>
  <si>
    <t>QTD TOTAL INSPETORES 2025</t>
  </si>
  <si>
    <t>QTD INSP. MANUT RD 2026</t>
  </si>
  <si>
    <t>QTD INSP. BASE INTEG. 2026</t>
  </si>
  <si>
    <t>QTD INSP. BASE INTEG. 2026 AJUSTADA</t>
  </si>
  <si>
    <t>QTD TOTAL INSPETORES 2026</t>
  </si>
  <si>
    <t>NOTA: BASE INTEGRADA USO COMPARTILHADO COM A GSTC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</si>
</sst>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0.00"/>
  </numFmts>
  <fonts count="4" x14ac:knownFonts="1">
    <font>
      <sz val="11"/>
      <color theme="1"/>
      <name val="Calibri"/>
      <family val="2"/>
      <scheme val="minor"/>
    </font>
    <font>
      <sz val="10"/>
      <color theme="0"/>
      <name val="Corbel"/>
      <family val="2"/>
    </font>
    <font>
      <sz val="10"/>
      <name val="Corbe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3" borderId="0" xfId="0" applyFont="1" applyFill="1" applyAlignment="1">
      <alignment horizontal="center"/>
    </xf>
    <xf numFmtId="164" fontId="2" fillId="6" borderId="2" xfId="0" applyNumberFormat="1" applyFont="1" applyFill="1" applyBorder="1" applyAlignment="1">
      <alignment horizontal="center" vertical="center" wrapText="1"/>
    </xf>
    <xf numFmtId="165" fontId="2" fillId="6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165" fontId="1" fillId="5" borderId="2" xfId="0" applyNumberFormat="1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3" fillId="8" borderId="0" xfId="0" applyFont="1" applyFill="1"/>
    <xf numFmtId="0" fontId="0" fillId="8" borderId="0" xfId="0" applyFill="1"/>
    <xf numFmtId="14" fontId="1" fillId="5" borderId="1" xfId="0" applyNumberFormat="1" applyFont="1" applyFill="1" applyBorder="1" applyAlignment="1">
      <alignment horizontal="center" vertical="center" wrapText="1"/>
    </xf>
    <xf numFmtId="14" fontId="1" fillId="5" borderId="3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tabSelected="1" zoomScaleNormal="100" workbookViewId="0">
      <selection activeCell="M24" sqref="M24"/>
    </sheetView>
  </sheetViews>
  <sheetFormatPr defaultRowHeight="14.5" x14ac:dyDescent="0.35"/>
  <cols>
    <col min="1" max="1" width="2.6328125" customWidth="1"/>
    <col min="2" max="2" width="21.81640625" style="13" bestFit="1" customWidth="1"/>
    <col min="3" max="3" width="14.08984375" customWidth="1"/>
    <col min="4" max="4" width="18.36328125" customWidth="1"/>
    <col min="5" max="5" width="21.36328125" customWidth="1"/>
    <col min="6" max="6" width="19.36328125" customWidth="1"/>
    <col min="8" max="8" width="4.6328125" customWidth="1"/>
    <col min="9" max="9" width="21.81640625" style="13" bestFit="1" customWidth="1"/>
    <col min="10" max="10" width="14.08984375" customWidth="1"/>
    <col min="11" max="11" width="18.36328125" customWidth="1"/>
    <col min="12" max="12" width="21.36328125" customWidth="1"/>
    <col min="13" max="13" width="19.36328125" customWidth="1"/>
  </cols>
  <sheetData>
    <row r="1" spans="2:13" x14ac:dyDescent="0.35">
      <c r="B1" s="16">
        <v>2025</v>
      </c>
      <c r="D1" s="12" t="s">
        <v>26</v>
      </c>
      <c r="E1" s="5">
        <v>0.4</v>
      </c>
      <c r="I1" s="16">
        <v>2026</v>
      </c>
      <c r="K1" s="12" t="s">
        <v>26</v>
      </c>
      <c r="L1" s="5">
        <v>0.4</v>
      </c>
    </row>
    <row r="2" spans="2:13" ht="14.5" customHeight="1" x14ac:dyDescent="0.35">
      <c r="B2" s="19" t="s">
        <v>0</v>
      </c>
      <c r="C2" s="21" t="s">
        <v>27</v>
      </c>
      <c r="D2" s="21" t="s">
        <v>28</v>
      </c>
      <c r="E2" s="21" t="s">
        <v>29</v>
      </c>
      <c r="F2" s="21" t="s">
        <v>30</v>
      </c>
      <c r="I2" s="19" t="s">
        <v>0</v>
      </c>
      <c r="J2" s="21" t="s">
        <v>31</v>
      </c>
      <c r="K2" s="21" t="s">
        <v>32</v>
      </c>
      <c r="L2" s="21" t="s">
        <v>33</v>
      </c>
      <c r="M2" s="21" t="s">
        <v>34</v>
      </c>
    </row>
    <row r="3" spans="2:13" x14ac:dyDescent="0.35">
      <c r="B3" s="20"/>
      <c r="C3" s="22"/>
      <c r="D3" s="22"/>
      <c r="E3" s="22"/>
      <c r="F3" s="22"/>
      <c r="I3" s="20"/>
      <c r="J3" s="22"/>
      <c r="K3" s="22"/>
      <c r="L3" s="22"/>
      <c r="M3" s="22"/>
    </row>
    <row r="4" spans="2:13" x14ac:dyDescent="0.35">
      <c r="B4" s="6" t="s">
        <v>1</v>
      </c>
      <c r="C4" s="6">
        <f>SUM(C5:C9)</f>
        <v>14</v>
      </c>
      <c r="D4" s="6">
        <f>SUM(D5:D9)</f>
        <v>6</v>
      </c>
      <c r="E4" s="6">
        <f>SUM(E5:E9)</f>
        <v>2.4000000000000004</v>
      </c>
      <c r="F4" s="7">
        <f>SUM(F5:F9)</f>
        <v>16.399999999999999</v>
      </c>
      <c r="G4" s="4"/>
      <c r="H4" s="4"/>
      <c r="I4" s="6" t="s">
        <v>1</v>
      </c>
      <c r="J4" s="6">
        <f>SUM(J5:J9)</f>
        <v>0</v>
      </c>
      <c r="K4" s="6">
        <f>SUM(K5:K9)</f>
        <v>0</v>
      </c>
      <c r="L4" s="6">
        <f>SUM(L5:L9)</f>
        <v>0</v>
      </c>
      <c r="M4" s="7">
        <f>SUM(M5:M9)</f>
        <v>0</v>
      </c>
    </row>
    <row r="5" spans="2:13" x14ac:dyDescent="0.35">
      <c r="B5" s="14" t="s">
        <v>2</v>
      </c>
      <c r="C5" s="10">
        <v>3</v>
      </c>
      <c r="D5" s="10"/>
      <c r="E5" s="10">
        <f>D5*$E$1</f>
        <v>0</v>
      </c>
      <c r="F5" s="11">
        <f>C5+E5</f>
        <v>3</v>
      </c>
      <c r="G5" s="4"/>
      <c r="H5" s="4"/>
      <c r="I5" s="14" t="s">
        <v>2</v>
      </c>
      <c r="J5" s="10"/>
      <c r="K5" s="10"/>
      <c r="L5" s="10">
        <f>K5*$L$1</f>
        <v>0</v>
      </c>
      <c r="M5" s="11">
        <f>J5+L5</f>
        <v>0</v>
      </c>
    </row>
    <row r="6" spans="2:13" x14ac:dyDescent="0.35">
      <c r="B6" s="14" t="s">
        <v>22</v>
      </c>
      <c r="C6" s="10"/>
      <c r="D6" s="10">
        <v>2</v>
      </c>
      <c r="E6" s="10">
        <f t="shared" ref="E6:E27" si="0">D6*$E$1</f>
        <v>0.8</v>
      </c>
      <c r="F6" s="11">
        <f t="shared" ref="F6:F9" si="1">C6+E6</f>
        <v>0.8</v>
      </c>
      <c r="G6" s="4"/>
      <c r="H6" s="4"/>
      <c r="I6" s="14" t="s">
        <v>22</v>
      </c>
      <c r="J6" s="10"/>
      <c r="K6" s="10"/>
      <c r="L6" s="10">
        <f t="shared" ref="L6:L9" si="2">K6*$L$1</f>
        <v>0</v>
      </c>
      <c r="M6" s="11">
        <f t="shared" ref="M6:M9" si="3">J6+L6</f>
        <v>0</v>
      </c>
    </row>
    <row r="7" spans="2:13" x14ac:dyDescent="0.35">
      <c r="B7" s="14" t="s">
        <v>3</v>
      </c>
      <c r="C7" s="10">
        <v>3</v>
      </c>
      <c r="D7" s="10">
        <v>2</v>
      </c>
      <c r="E7" s="10">
        <f t="shared" si="0"/>
        <v>0.8</v>
      </c>
      <c r="F7" s="11">
        <f t="shared" si="1"/>
        <v>3.8</v>
      </c>
      <c r="G7" s="4"/>
      <c r="H7" s="4"/>
      <c r="I7" s="14" t="s">
        <v>3</v>
      </c>
      <c r="J7" s="10"/>
      <c r="K7" s="10"/>
      <c r="L7" s="10">
        <f t="shared" si="2"/>
        <v>0</v>
      </c>
      <c r="M7" s="11">
        <f t="shared" si="3"/>
        <v>0</v>
      </c>
    </row>
    <row r="8" spans="2:13" x14ac:dyDescent="0.35">
      <c r="B8" s="14" t="s">
        <v>23</v>
      </c>
      <c r="C8" s="10">
        <v>4</v>
      </c>
      <c r="D8" s="10">
        <v>2</v>
      </c>
      <c r="E8" s="10">
        <f t="shared" si="0"/>
        <v>0.8</v>
      </c>
      <c r="F8" s="11">
        <f t="shared" si="1"/>
        <v>4.8</v>
      </c>
      <c r="G8" s="4"/>
      <c r="H8" s="4"/>
      <c r="I8" s="14" t="s">
        <v>23</v>
      </c>
      <c r="J8" s="10"/>
      <c r="K8" s="10"/>
      <c r="L8" s="10">
        <f t="shared" si="2"/>
        <v>0</v>
      </c>
      <c r="M8" s="11">
        <f t="shared" si="3"/>
        <v>0</v>
      </c>
    </row>
    <row r="9" spans="2:13" x14ac:dyDescent="0.35">
      <c r="B9" s="14" t="s">
        <v>4</v>
      </c>
      <c r="C9" s="10">
        <v>4</v>
      </c>
      <c r="D9" s="10"/>
      <c r="E9" s="10">
        <f t="shared" si="0"/>
        <v>0</v>
      </c>
      <c r="F9" s="11">
        <f t="shared" si="1"/>
        <v>4</v>
      </c>
      <c r="G9" s="4"/>
      <c r="H9" s="4"/>
      <c r="I9" s="14" t="s">
        <v>4</v>
      </c>
      <c r="J9" s="10"/>
      <c r="K9" s="10"/>
      <c r="L9" s="10">
        <f t="shared" si="2"/>
        <v>0</v>
      </c>
      <c r="M9" s="11">
        <f t="shared" si="3"/>
        <v>0</v>
      </c>
    </row>
    <row r="10" spans="2:13" x14ac:dyDescent="0.35">
      <c r="B10" s="6" t="s">
        <v>5</v>
      </c>
      <c r="C10" s="6">
        <f>SUM(C11:C14)</f>
        <v>11</v>
      </c>
      <c r="D10" s="6">
        <f>SUM(D11:D14)</f>
        <v>3</v>
      </c>
      <c r="E10" s="6">
        <f>SUM(E11:E14)</f>
        <v>1.2000000000000002</v>
      </c>
      <c r="F10" s="7">
        <f>SUM(F11:F14)</f>
        <v>12.200000000000001</v>
      </c>
      <c r="G10" s="4"/>
      <c r="H10" s="4"/>
      <c r="I10" s="6" t="s">
        <v>5</v>
      </c>
      <c r="J10" s="6">
        <f>SUM(J11:J14)</f>
        <v>0</v>
      </c>
      <c r="K10" s="6">
        <f>SUM(K11:K14)</f>
        <v>0</v>
      </c>
      <c r="L10" s="6">
        <f>SUM(L11:L14)</f>
        <v>0</v>
      </c>
      <c r="M10" s="7">
        <f>SUM(M11:M14)</f>
        <v>0</v>
      </c>
    </row>
    <row r="11" spans="2:13" x14ac:dyDescent="0.35">
      <c r="B11" s="2" t="s">
        <v>6</v>
      </c>
      <c r="C11" s="1">
        <v>4</v>
      </c>
      <c r="D11" s="1"/>
      <c r="E11" s="1">
        <f t="shared" si="0"/>
        <v>0</v>
      </c>
      <c r="F11" s="3">
        <f t="shared" ref="F11:F14" si="4">C11+E11</f>
        <v>4</v>
      </c>
      <c r="G11" s="4"/>
      <c r="H11" s="4"/>
      <c r="I11" s="2" t="s">
        <v>6</v>
      </c>
      <c r="J11" s="1"/>
      <c r="K11" s="1"/>
      <c r="L11" s="1">
        <f t="shared" ref="L11:L14" si="5">K11*$L$1</f>
        <v>0</v>
      </c>
      <c r="M11" s="3">
        <f t="shared" ref="M11:M14" si="6">J11+L11</f>
        <v>0</v>
      </c>
    </row>
    <row r="12" spans="2:13" x14ac:dyDescent="0.35">
      <c r="B12" s="2" t="s">
        <v>7</v>
      </c>
      <c r="C12" s="1"/>
      <c r="D12" s="1">
        <v>2</v>
      </c>
      <c r="E12" s="1">
        <f t="shared" si="0"/>
        <v>0.8</v>
      </c>
      <c r="F12" s="3">
        <f t="shared" si="4"/>
        <v>0.8</v>
      </c>
      <c r="G12" s="4"/>
      <c r="H12" s="4"/>
      <c r="I12" s="2" t="s">
        <v>7</v>
      </c>
      <c r="J12" s="1"/>
      <c r="K12" s="1"/>
      <c r="L12" s="1">
        <f t="shared" si="5"/>
        <v>0</v>
      </c>
      <c r="M12" s="3">
        <f t="shared" si="6"/>
        <v>0</v>
      </c>
    </row>
    <row r="13" spans="2:13" x14ac:dyDescent="0.35">
      <c r="B13" s="2" t="s">
        <v>24</v>
      </c>
      <c r="C13" s="1">
        <v>4</v>
      </c>
      <c r="D13" s="1"/>
      <c r="E13" s="1">
        <f t="shared" si="0"/>
        <v>0</v>
      </c>
      <c r="F13" s="3">
        <f t="shared" si="4"/>
        <v>4</v>
      </c>
      <c r="G13" s="4"/>
      <c r="H13" s="4"/>
      <c r="I13" s="2" t="s">
        <v>24</v>
      </c>
      <c r="J13" s="1"/>
      <c r="K13" s="1"/>
      <c r="L13" s="1">
        <f t="shared" si="5"/>
        <v>0</v>
      </c>
      <c r="M13" s="3">
        <f t="shared" si="6"/>
        <v>0</v>
      </c>
    </row>
    <row r="14" spans="2:13" x14ac:dyDescent="0.35">
      <c r="B14" s="2" t="s">
        <v>8</v>
      </c>
      <c r="C14" s="1">
        <v>3</v>
      </c>
      <c r="D14" s="1">
        <v>1</v>
      </c>
      <c r="E14" s="1">
        <f t="shared" si="0"/>
        <v>0.4</v>
      </c>
      <c r="F14" s="3">
        <f t="shared" si="4"/>
        <v>3.4</v>
      </c>
      <c r="G14" s="4"/>
      <c r="H14" s="4"/>
      <c r="I14" s="2" t="s">
        <v>8</v>
      </c>
      <c r="J14" s="1"/>
      <c r="K14" s="1"/>
      <c r="L14" s="1">
        <f t="shared" si="5"/>
        <v>0</v>
      </c>
      <c r="M14" s="3">
        <f t="shared" si="6"/>
        <v>0</v>
      </c>
    </row>
    <row r="15" spans="2:13" x14ac:dyDescent="0.35">
      <c r="B15" s="6" t="s">
        <v>9</v>
      </c>
      <c r="C15" s="6">
        <f>SUM(C16:C18)</f>
        <v>4</v>
      </c>
      <c r="D15" s="6">
        <f>SUM(D16:D18)</f>
        <v>5</v>
      </c>
      <c r="E15" s="6">
        <f>SUM(E16:E18)</f>
        <v>2</v>
      </c>
      <c r="F15" s="7">
        <f>SUM(F16:F18)</f>
        <v>6</v>
      </c>
      <c r="G15" s="4"/>
      <c r="H15" s="4"/>
      <c r="I15" s="6" t="s">
        <v>9</v>
      </c>
      <c r="J15" s="6">
        <f>SUM(J16:J18)</f>
        <v>0</v>
      </c>
      <c r="K15" s="6">
        <f>SUM(K16:K18)</f>
        <v>0</v>
      </c>
      <c r="L15" s="6">
        <f>SUM(L16:L18)</f>
        <v>0</v>
      </c>
      <c r="M15" s="7">
        <f>SUM(M16:M18)</f>
        <v>0</v>
      </c>
    </row>
    <row r="16" spans="2:13" x14ac:dyDescent="0.35">
      <c r="B16" s="2" t="s">
        <v>21</v>
      </c>
      <c r="C16" s="1"/>
      <c r="D16" s="1">
        <v>3</v>
      </c>
      <c r="E16" s="1">
        <f t="shared" si="0"/>
        <v>1.2000000000000002</v>
      </c>
      <c r="F16" s="3">
        <f t="shared" ref="F16:F18" si="7">C16+E16</f>
        <v>1.2000000000000002</v>
      </c>
      <c r="G16" s="4"/>
      <c r="H16" s="4"/>
      <c r="I16" s="2" t="s">
        <v>21</v>
      </c>
      <c r="J16" s="1"/>
      <c r="K16" s="1"/>
      <c r="L16" s="1">
        <f t="shared" ref="L16:L18" si="8">K16*$L$1</f>
        <v>0</v>
      </c>
      <c r="M16" s="3">
        <f t="shared" ref="M16:M18" si="9">J16+L16</f>
        <v>0</v>
      </c>
    </row>
    <row r="17" spans="2:13" x14ac:dyDescent="0.35">
      <c r="B17" s="2" t="s">
        <v>10</v>
      </c>
      <c r="C17" s="1"/>
      <c r="D17" s="1">
        <v>1</v>
      </c>
      <c r="E17" s="1">
        <f t="shared" si="0"/>
        <v>0.4</v>
      </c>
      <c r="F17" s="3">
        <f t="shared" si="7"/>
        <v>0.4</v>
      </c>
      <c r="G17" s="4"/>
      <c r="H17" s="4"/>
      <c r="I17" s="2" t="s">
        <v>10</v>
      </c>
      <c r="J17" s="1"/>
      <c r="K17" s="1"/>
      <c r="L17" s="1">
        <f t="shared" si="8"/>
        <v>0</v>
      </c>
      <c r="M17" s="3">
        <f t="shared" si="9"/>
        <v>0</v>
      </c>
    </row>
    <row r="18" spans="2:13" x14ac:dyDescent="0.35">
      <c r="B18" s="2" t="s">
        <v>11</v>
      </c>
      <c r="C18" s="1">
        <v>4</v>
      </c>
      <c r="D18" s="1">
        <v>1</v>
      </c>
      <c r="E18" s="1">
        <f t="shared" si="0"/>
        <v>0.4</v>
      </c>
      <c r="F18" s="3">
        <f t="shared" si="7"/>
        <v>4.4000000000000004</v>
      </c>
      <c r="G18" s="4"/>
      <c r="H18" s="4"/>
      <c r="I18" s="2" t="s">
        <v>11</v>
      </c>
      <c r="J18" s="1"/>
      <c r="K18" s="1"/>
      <c r="L18" s="1">
        <f t="shared" si="8"/>
        <v>0</v>
      </c>
      <c r="M18" s="3">
        <f t="shared" si="9"/>
        <v>0</v>
      </c>
    </row>
    <row r="19" spans="2:13" x14ac:dyDescent="0.35">
      <c r="B19" s="6" t="s">
        <v>12</v>
      </c>
      <c r="C19" s="6">
        <f>SUM(C20:C22)</f>
        <v>12</v>
      </c>
      <c r="D19" s="6">
        <f>SUM(D20:D22)</f>
        <v>9</v>
      </c>
      <c r="E19" s="6">
        <f>SUM(E20:E22)</f>
        <v>3.6000000000000005</v>
      </c>
      <c r="F19" s="7">
        <f>SUM(F20:F22)</f>
        <v>15.600000000000001</v>
      </c>
      <c r="G19" s="4"/>
      <c r="H19" s="4"/>
      <c r="I19" s="6" t="s">
        <v>12</v>
      </c>
      <c r="J19" s="6">
        <f>SUM(J20:J22)</f>
        <v>0</v>
      </c>
      <c r="K19" s="6">
        <f>SUM(K20:K22)</f>
        <v>0</v>
      </c>
      <c r="L19" s="6">
        <f>SUM(L20:L22)</f>
        <v>0</v>
      </c>
      <c r="M19" s="7">
        <f>SUM(M20:M22)</f>
        <v>0</v>
      </c>
    </row>
    <row r="20" spans="2:13" x14ac:dyDescent="0.35">
      <c r="B20" s="2" t="s">
        <v>19</v>
      </c>
      <c r="C20" s="1"/>
      <c r="D20" s="1">
        <v>3</v>
      </c>
      <c r="E20" s="1">
        <f t="shared" si="0"/>
        <v>1.2000000000000002</v>
      </c>
      <c r="F20" s="3">
        <f t="shared" ref="F20:F22" si="10">C20+E20</f>
        <v>1.2000000000000002</v>
      </c>
      <c r="G20" s="4"/>
      <c r="H20" s="4"/>
      <c r="I20" s="2" t="s">
        <v>19</v>
      </c>
      <c r="J20" s="1"/>
      <c r="K20" s="1"/>
      <c r="L20" s="1">
        <f t="shared" ref="L20:L22" si="11">K20*$L$1</f>
        <v>0</v>
      </c>
      <c r="M20" s="3">
        <f t="shared" ref="M20:M22" si="12">J20+L20</f>
        <v>0</v>
      </c>
    </row>
    <row r="21" spans="2:13" x14ac:dyDescent="0.35">
      <c r="B21" s="2" t="s">
        <v>13</v>
      </c>
      <c r="C21" s="1">
        <v>4</v>
      </c>
      <c r="D21" s="1">
        <v>6</v>
      </c>
      <c r="E21" s="1">
        <f t="shared" si="0"/>
        <v>2.4000000000000004</v>
      </c>
      <c r="F21" s="3">
        <f t="shared" si="10"/>
        <v>6.4</v>
      </c>
      <c r="G21" s="4"/>
      <c r="H21" s="4"/>
      <c r="I21" s="2" t="s">
        <v>13</v>
      </c>
      <c r="J21" s="1"/>
      <c r="K21" s="1"/>
      <c r="L21" s="1">
        <f t="shared" si="11"/>
        <v>0</v>
      </c>
      <c r="M21" s="3">
        <f t="shared" si="12"/>
        <v>0</v>
      </c>
    </row>
    <row r="22" spans="2:13" x14ac:dyDescent="0.35">
      <c r="B22" s="2" t="s">
        <v>20</v>
      </c>
      <c r="C22" s="1">
        <v>8</v>
      </c>
      <c r="D22" s="1"/>
      <c r="E22" s="1">
        <f t="shared" si="0"/>
        <v>0</v>
      </c>
      <c r="F22" s="3">
        <f t="shared" si="10"/>
        <v>8</v>
      </c>
      <c r="G22" s="4"/>
      <c r="H22" s="4"/>
      <c r="I22" s="2" t="s">
        <v>20</v>
      </c>
      <c r="J22" s="1"/>
      <c r="K22" s="1"/>
      <c r="L22" s="1">
        <f t="shared" si="11"/>
        <v>0</v>
      </c>
      <c r="M22" s="3">
        <f t="shared" si="12"/>
        <v>0</v>
      </c>
    </row>
    <row r="23" spans="2:13" x14ac:dyDescent="0.35">
      <c r="B23" s="6" t="s">
        <v>14</v>
      </c>
      <c r="C23" s="6">
        <f>SUM(C24:C27)</f>
        <v>11</v>
      </c>
      <c r="D23" s="6">
        <f>SUM(D24:D27)</f>
        <v>15</v>
      </c>
      <c r="E23" s="6">
        <f>SUM(E24:E27)</f>
        <v>6</v>
      </c>
      <c r="F23" s="7">
        <f>SUM(F24:F27)</f>
        <v>17</v>
      </c>
      <c r="G23" s="4"/>
      <c r="H23" s="4"/>
      <c r="I23" s="6" t="s">
        <v>14</v>
      </c>
      <c r="J23" s="6">
        <f>SUM(J24:J27)</f>
        <v>0</v>
      </c>
      <c r="K23" s="6">
        <f>SUM(K24:K27)</f>
        <v>0</v>
      </c>
      <c r="L23" s="6">
        <f>SUM(L24:L27)</f>
        <v>0</v>
      </c>
      <c r="M23" s="7">
        <f>SUM(M24:M27)</f>
        <v>0</v>
      </c>
    </row>
    <row r="24" spans="2:13" x14ac:dyDescent="0.35">
      <c r="B24" s="2" t="s">
        <v>25</v>
      </c>
      <c r="C24" s="1">
        <v>3</v>
      </c>
      <c r="D24" s="1">
        <v>2</v>
      </c>
      <c r="E24" s="1">
        <f t="shared" si="0"/>
        <v>0.8</v>
      </c>
      <c r="F24" s="3">
        <f t="shared" ref="F24:F27" si="13">C24+E24</f>
        <v>3.8</v>
      </c>
      <c r="G24" s="4"/>
      <c r="H24" s="4"/>
      <c r="I24" s="2" t="s">
        <v>25</v>
      </c>
      <c r="J24" s="1"/>
      <c r="K24" s="1"/>
      <c r="L24" s="1">
        <f t="shared" ref="L24:L27" si="14">K24*$L$1</f>
        <v>0</v>
      </c>
      <c r="M24" s="3">
        <f t="shared" ref="M24:M27" si="15">J24+L24</f>
        <v>0</v>
      </c>
    </row>
    <row r="25" spans="2:13" x14ac:dyDescent="0.35">
      <c r="B25" s="2" t="s">
        <v>15</v>
      </c>
      <c r="C25" s="1">
        <v>4</v>
      </c>
      <c r="D25" s="1">
        <v>6</v>
      </c>
      <c r="E25" s="1">
        <f t="shared" si="0"/>
        <v>2.4000000000000004</v>
      </c>
      <c r="F25" s="3">
        <f t="shared" si="13"/>
        <v>6.4</v>
      </c>
      <c r="G25" s="4"/>
      <c r="H25" s="4"/>
      <c r="I25" s="2" t="s">
        <v>15</v>
      </c>
      <c r="J25" s="1"/>
      <c r="K25" s="1"/>
      <c r="L25" s="1">
        <f t="shared" si="14"/>
        <v>0</v>
      </c>
      <c r="M25" s="3">
        <f t="shared" si="15"/>
        <v>0</v>
      </c>
    </row>
    <row r="26" spans="2:13" x14ac:dyDescent="0.35">
      <c r="B26" s="2" t="s">
        <v>16</v>
      </c>
      <c r="C26" s="1">
        <v>4</v>
      </c>
      <c r="D26" s="1">
        <v>2</v>
      </c>
      <c r="E26" s="1">
        <f t="shared" si="0"/>
        <v>0.8</v>
      </c>
      <c r="F26" s="3">
        <f t="shared" si="13"/>
        <v>4.8</v>
      </c>
      <c r="G26" s="4"/>
      <c r="H26" s="4"/>
      <c r="I26" s="2" t="s">
        <v>16</v>
      </c>
      <c r="J26" s="1"/>
      <c r="K26" s="1"/>
      <c r="L26" s="1">
        <f t="shared" si="14"/>
        <v>0</v>
      </c>
      <c r="M26" s="3">
        <f t="shared" si="15"/>
        <v>0</v>
      </c>
    </row>
    <row r="27" spans="2:13" x14ac:dyDescent="0.35">
      <c r="B27" s="2" t="s">
        <v>17</v>
      </c>
      <c r="C27" s="1"/>
      <c r="D27" s="1">
        <v>5</v>
      </c>
      <c r="E27" s="1">
        <f t="shared" si="0"/>
        <v>2</v>
      </c>
      <c r="F27" s="3">
        <f t="shared" si="13"/>
        <v>2</v>
      </c>
      <c r="G27" s="4"/>
      <c r="H27" s="4"/>
      <c r="I27" s="2" t="s">
        <v>17</v>
      </c>
      <c r="J27" s="1"/>
      <c r="K27" s="1"/>
      <c r="L27" s="1">
        <f t="shared" si="14"/>
        <v>0</v>
      </c>
      <c r="M27" s="3">
        <f t="shared" si="15"/>
        <v>0</v>
      </c>
    </row>
    <row r="28" spans="2:13" x14ac:dyDescent="0.35">
      <c r="B28" s="15" t="s">
        <v>18</v>
      </c>
      <c r="C28" s="8">
        <f>C4+C10+C15+C19+C23</f>
        <v>52</v>
      </c>
      <c r="D28" s="8">
        <f>D4+D10+D15+D19+D23</f>
        <v>38</v>
      </c>
      <c r="E28" s="8">
        <f>E4+E10+E15+E19+E23</f>
        <v>15.200000000000001</v>
      </c>
      <c r="F28" s="9">
        <f>F4+F10+F15+F19+F23</f>
        <v>67.2</v>
      </c>
      <c r="G28" s="4"/>
      <c r="H28" s="4"/>
      <c r="I28" s="15" t="s">
        <v>18</v>
      </c>
      <c r="J28" s="8">
        <f>J4+J10+J15+J19+J23</f>
        <v>0</v>
      </c>
      <c r="K28" s="8">
        <f>K4+K10+K15+K19+K23</f>
        <v>0</v>
      </c>
      <c r="L28" s="8">
        <f>L4+L10+L15+L19+L23</f>
        <v>0</v>
      </c>
      <c r="M28" s="9">
        <f>M4+M10+M15+M19+M23</f>
        <v>0</v>
      </c>
    </row>
    <row r="31" spans="2:13" x14ac:dyDescent="0.35">
      <c r="B31" s="17" t="s">
        <v>35</v>
      </c>
      <c r="C31" s="18"/>
      <c r="D31" s="18"/>
    </row>
  </sheetData>
  <mergeCells count="10">
    <mergeCell ref="B2:B3"/>
    <mergeCell ref="C2:C3"/>
    <mergeCell ref="D2:D3"/>
    <mergeCell ref="F2:F3"/>
    <mergeCell ref="E2:E3"/>
    <mergeCell ref="I2:I3"/>
    <mergeCell ref="J2:J3"/>
    <mergeCell ref="K2:K3"/>
    <mergeCell ref="L2:L3"/>
    <mergeCell ref="M2:M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BEC51F7691DE4FADA0F3E779110619" ma:contentTypeVersion="18" ma:contentTypeDescription="Crie um novo documento." ma:contentTypeScope="" ma:versionID="21a3cc2ba4ec501572da15f87782b2fc">
  <xsd:schema xmlns:xsd="http://www.w3.org/2001/XMLSchema" xmlns:xs="http://www.w3.org/2001/XMLSchema" xmlns:p="http://schemas.microsoft.com/office/2006/metadata/properties" xmlns:ns3="1146b063-dcb8-48db-82d9-b433aca07920" xmlns:ns4="e56e25cd-551f-46de-8753-6912221b5128" targetNamespace="http://schemas.microsoft.com/office/2006/metadata/properties" ma:root="true" ma:fieldsID="6fa9bf2defc1d0c4dc34d01f4f48f096" ns3:_="" ns4:_="">
    <xsd:import namespace="1146b063-dcb8-48db-82d9-b433aca07920"/>
    <xsd:import namespace="e56e25cd-551f-46de-8753-6912221b512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46b063-dcb8-48db-82d9-b433aca079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e25cd-551f-46de-8753-6912221b5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6e25cd-551f-46de-8753-6912221b5128" xsi:nil="true"/>
  </documentManagement>
</p:properties>
</file>

<file path=customXml/itemProps1.xml><?xml version="1.0" encoding="utf-8"?>
<ds:datastoreItem xmlns:ds="http://schemas.openxmlformats.org/officeDocument/2006/customXml" ds:itemID="{1A61ED5C-3A69-40F9-9BD9-8882282CC8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46b063-dcb8-48db-82d9-b433aca07920"/>
    <ds:schemaRef ds:uri="e56e25cd-551f-46de-8753-6912221b5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677F9D-2840-433B-A258-E464F6B661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63A690-087A-4837-AE6A-1C732C01B4A5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e56e25cd-551f-46de-8753-6912221b5128"/>
    <ds:schemaRef ds:uri="1146b063-dcb8-48db-82d9-b433aca0792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EQTL MA</vt:lpstr>
    </vt:vector>
  </TitlesOfParts>
  <Company>Equatorial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Equatorial</dc:creator>
  <cp:lastModifiedBy>EQUATORIAL</cp:lastModifiedBy>
  <dcterms:created xsi:type="dcterms:W3CDTF">2024-10-22T14:13:12Z</dcterms:created>
  <dcterms:modified xsi:type="dcterms:W3CDTF">2025-10-03T18:52:28Z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0x01010021BEC51F7691DE4FADA0F3E779110619</vt:lpwstr>
  </property>
</Properties>
</file>